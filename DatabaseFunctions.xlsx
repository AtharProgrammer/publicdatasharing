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TraingFramework\Excel\Session3\"/>
    </mc:Choice>
  </mc:AlternateContent>
  <xr:revisionPtr revIDLastSave="0" documentId="13_ncr:1_{DA32660C-A255-48BA-AE0D-A7486E96FBA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ampleData" sheetId="1" r:id="rId1"/>
    <sheet name="Departments" sheetId="3" r:id="rId2"/>
    <sheet name="DatabaseFunctions" sheetId="2" r:id="rId3"/>
    <sheet name="Forecast" sheetId="4" r:id="rId4"/>
    <sheet name="CORREL" sheetId="6" r:id="rId5"/>
  </sheets>
  <definedNames>
    <definedName name="_xlnm._FilterDatabase" localSheetId="0" hidden="1">SampleData!$D$1:$D$21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4" l="1"/>
  <c r="A5" i="6"/>
  <c r="I14" i="1"/>
  <c r="I13" i="1"/>
  <c r="I12" i="1"/>
  <c r="I11" i="1"/>
  <c r="I10" i="1"/>
  <c r="I9" i="1"/>
  <c r="B7" i="4"/>
  <c r="D49" i="2"/>
  <c r="D43" i="2"/>
  <c r="D37" i="2"/>
  <c r="D31" i="2"/>
  <c r="D25" i="2"/>
  <c r="D19" i="2"/>
  <c r="D13" i="2"/>
  <c r="D7" i="2"/>
  <c r="D1" i="2"/>
</calcChain>
</file>

<file path=xl/sharedStrings.xml><?xml version="1.0" encoding="utf-8"?>
<sst xmlns="http://schemas.openxmlformats.org/spreadsheetml/2006/main" count="102" uniqueCount="54">
  <si>
    <t>ID</t>
  </si>
  <si>
    <t>Name</t>
  </si>
  <si>
    <t>Department</t>
  </si>
  <si>
    <t>Age</t>
  </si>
  <si>
    <t>Salary</t>
  </si>
  <si>
    <t>Aisha</t>
  </si>
  <si>
    <t>HR</t>
  </si>
  <si>
    <t>Omar</t>
  </si>
  <si>
    <t>Finance</t>
  </si>
  <si>
    <t>Lina</t>
  </si>
  <si>
    <t>IT</t>
  </si>
  <si>
    <t>Hadi</t>
  </si>
  <si>
    <t>Marketing</t>
  </si>
  <si>
    <t>Sara</t>
  </si>
  <si>
    <t>Farah</t>
  </si>
  <si>
    <t>Yusuf</t>
  </si>
  <si>
    <t>Noor</t>
  </si>
  <si>
    <t>Ali</t>
  </si>
  <si>
    <t>Zain</t>
  </si>
  <si>
    <t>Mira</t>
  </si>
  <si>
    <t>Rami</t>
  </si>
  <si>
    <t>Jana</t>
  </si>
  <si>
    <t>Tariq</t>
  </si>
  <si>
    <t>Hana</t>
  </si>
  <si>
    <t>Samir</t>
  </si>
  <si>
    <t>Khalid</t>
  </si>
  <si>
    <t>Mona</t>
  </si>
  <si>
    <t>Othman</t>
  </si>
  <si>
    <t>Reem</t>
  </si>
  <si>
    <t>DSUM - Total salary of IT department</t>
  </si>
  <si>
    <t>DCOUNT - Count employees with Salary &gt; 5000</t>
  </si>
  <si>
    <t>&gt;5000</t>
  </si>
  <si>
    <t>DAVERAGE - Average age of HR employees</t>
  </si>
  <si>
    <t>DMAX - Highest salary in Finance department</t>
  </si>
  <si>
    <t>DMIN - Youngest employee in Marketing</t>
  </si>
  <si>
    <t>DSUM - Total salary of employees Age &gt; 30</t>
  </si>
  <si>
    <t>&gt;30</t>
  </si>
  <si>
    <t>DAVERAGE - Avg salary of employees age between 25 and 30</t>
  </si>
  <si>
    <t>&gt;=25</t>
  </si>
  <si>
    <t>&lt;=30</t>
  </si>
  <si>
    <t>DGET - Salary of employee with ID = 7</t>
  </si>
  <si>
    <t>7</t>
  </si>
  <si>
    <t>DCOUNT - Count IT employees with Salary &gt; 5000</t>
  </si>
  <si>
    <t>&gt;25</t>
  </si>
  <si>
    <t>Createria</t>
  </si>
  <si>
    <t>DSUM</t>
  </si>
  <si>
    <t>DCOUNT</t>
  </si>
  <si>
    <t>DAVERAGE</t>
  </si>
  <si>
    <t>DMAX</t>
  </si>
  <si>
    <t>DMIN</t>
  </si>
  <si>
    <t>DGET</t>
  </si>
  <si>
    <t>Month</t>
  </si>
  <si>
    <t>Sales</t>
  </si>
  <si>
    <t>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</si>
</sst>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73304B8-3E78-458F-9281-8CCDEE7CB8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21"/>
  <sheetViews>
    <sheetView workbookViewId="0">
      <selection activeCell="G21" sqref="G21"/>
    </sheetView>
  </sheetViews>
  <sheetFormatPr defaultRowHeight="14.4" x14ac:dyDescent="0.3"/>
  <cols>
    <col min="1" max="1" width="16.44140625" customWidth="1"/>
    <col min="2" max="2" width="17" customWidth="1"/>
    <col min="3" max="3" width="17.5546875" customWidth="1"/>
    <col min="4" max="4" width="16.6640625" customWidth="1"/>
    <col min="5" max="5" width="20.6640625" customWidth="1"/>
    <col min="8" max="8" width="14.77734375" customWidth="1"/>
    <col min="9" max="9" width="17.5546875" customWidth="1"/>
    <col min="10" max="11" width="14.77734375" customWidth="1"/>
    <col min="12" max="12" width="11" customWidth="1"/>
    <col min="13" max="13" width="10.77734375" customWidth="1"/>
    <col min="14" max="14" width="12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3">
      <c r="A2">
        <v>1</v>
      </c>
      <c r="B2" t="s">
        <v>5</v>
      </c>
      <c r="C2" t="s">
        <v>6</v>
      </c>
      <c r="D2">
        <v>28</v>
      </c>
      <c r="E2">
        <v>4500</v>
      </c>
      <c r="I2" s="4" t="s">
        <v>44</v>
      </c>
      <c r="J2" s="4"/>
      <c r="K2" s="4"/>
      <c r="L2" s="4"/>
      <c r="M2" s="4"/>
      <c r="N2" s="4"/>
    </row>
    <row r="3" spans="1:14" x14ac:dyDescent="0.3">
      <c r="A3">
        <v>2</v>
      </c>
      <c r="B3" t="s">
        <v>7</v>
      </c>
      <c r="C3" t="s">
        <v>8</v>
      </c>
      <c r="D3">
        <v>32</v>
      </c>
      <c r="E3">
        <v>5200</v>
      </c>
      <c r="I3" s="1" t="s">
        <v>2</v>
      </c>
      <c r="J3" s="1" t="s">
        <v>3</v>
      </c>
      <c r="K3" s="1" t="s">
        <v>0</v>
      </c>
      <c r="L3" s="1" t="s">
        <v>2</v>
      </c>
      <c r="M3" s="1" t="s">
        <v>2</v>
      </c>
      <c r="N3" s="1" t="s">
        <v>2</v>
      </c>
    </row>
    <row r="4" spans="1:14" x14ac:dyDescent="0.3">
      <c r="A4">
        <v>3</v>
      </c>
      <c r="B4" t="s">
        <v>9</v>
      </c>
      <c r="C4" t="s">
        <v>10</v>
      </c>
      <c r="D4">
        <v>120</v>
      </c>
      <c r="E4">
        <v>4800</v>
      </c>
      <c r="I4" t="s">
        <v>10</v>
      </c>
      <c r="J4" t="s">
        <v>43</v>
      </c>
      <c r="K4">
        <v>6</v>
      </c>
      <c r="L4" t="s">
        <v>6</v>
      </c>
      <c r="M4" t="s">
        <v>8</v>
      </c>
      <c r="N4" t="s">
        <v>12</v>
      </c>
    </row>
    <row r="5" spans="1:14" x14ac:dyDescent="0.3">
      <c r="A5">
        <v>4</v>
      </c>
      <c r="B5" t="s">
        <v>11</v>
      </c>
      <c r="C5" t="s">
        <v>12</v>
      </c>
      <c r="D5">
        <v>29</v>
      </c>
      <c r="E5">
        <v>5100</v>
      </c>
    </row>
    <row r="6" spans="1:14" x14ac:dyDescent="0.3">
      <c r="A6">
        <v>5</v>
      </c>
      <c r="B6" t="s">
        <v>13</v>
      </c>
      <c r="C6" t="s">
        <v>6</v>
      </c>
      <c r="D6">
        <v>45</v>
      </c>
      <c r="E6">
        <v>4700</v>
      </c>
    </row>
    <row r="7" spans="1:14" x14ac:dyDescent="0.3">
      <c r="A7">
        <v>6</v>
      </c>
      <c r="B7" t="s">
        <v>14</v>
      </c>
      <c r="C7" t="s">
        <v>10</v>
      </c>
      <c r="D7">
        <v>56</v>
      </c>
      <c r="E7">
        <v>5300</v>
      </c>
    </row>
    <row r="8" spans="1:14" x14ac:dyDescent="0.3">
      <c r="A8">
        <v>7</v>
      </c>
      <c r="B8" t="s">
        <v>15</v>
      </c>
      <c r="C8" t="s">
        <v>8</v>
      </c>
      <c r="D8">
        <v>11</v>
      </c>
      <c r="E8">
        <v>6000</v>
      </c>
    </row>
    <row r="9" spans="1:14" x14ac:dyDescent="0.3">
      <c r="A9">
        <v>8</v>
      </c>
      <c r="B9" t="s">
        <v>16</v>
      </c>
      <c r="C9" t="s">
        <v>12</v>
      </c>
      <c r="D9">
        <v>11</v>
      </c>
      <c r="E9">
        <v>4900</v>
      </c>
      <c r="H9" t="s">
        <v>45</v>
      </c>
      <c r="I9">
        <f>DSUM(A1:E21,"Salary",L3:L4)</f>
        <v>22750</v>
      </c>
    </row>
    <row r="10" spans="1:14" x14ac:dyDescent="0.3">
      <c r="A10">
        <v>9</v>
      </c>
      <c r="B10" t="s">
        <v>17</v>
      </c>
      <c r="C10" t="s">
        <v>6</v>
      </c>
      <c r="D10">
        <v>11</v>
      </c>
      <c r="E10">
        <v>4600</v>
      </c>
      <c r="H10" t="s">
        <v>46</v>
      </c>
      <c r="I10">
        <f>DCOUNT(A1:E21,"Salary",I3:I4)</f>
        <v>5</v>
      </c>
    </row>
    <row r="11" spans="1:14" x14ac:dyDescent="0.3">
      <c r="A11">
        <v>10</v>
      </c>
      <c r="B11" t="s">
        <v>18</v>
      </c>
      <c r="C11" t="s">
        <v>10</v>
      </c>
      <c r="D11">
        <v>11</v>
      </c>
      <c r="E11">
        <v>4700</v>
      </c>
      <c r="H11" t="s">
        <v>47</v>
      </c>
      <c r="I11">
        <f>DAVERAGE(A1:E21,"salary",L3:L4)</f>
        <v>4550</v>
      </c>
    </row>
    <row r="12" spans="1:14" x14ac:dyDescent="0.3">
      <c r="A12">
        <v>11</v>
      </c>
      <c r="B12" t="s">
        <v>19</v>
      </c>
      <c r="C12" t="s">
        <v>8</v>
      </c>
      <c r="D12">
        <v>11</v>
      </c>
      <c r="E12">
        <v>5800</v>
      </c>
      <c r="H12" t="s">
        <v>48</v>
      </c>
      <c r="I12">
        <f>DMAX(A1:E21,"salary",M3:M4)</f>
        <v>6300</v>
      </c>
    </row>
    <row r="13" spans="1:14" x14ac:dyDescent="0.3">
      <c r="A13">
        <v>12</v>
      </c>
      <c r="B13" t="s">
        <v>20</v>
      </c>
      <c r="C13" t="s">
        <v>12</v>
      </c>
      <c r="D13">
        <v>28</v>
      </c>
      <c r="E13">
        <v>5200</v>
      </c>
      <c r="H13" t="s">
        <v>49</v>
      </c>
      <c r="I13">
        <f>DMIN(A1:E21,"salary",L3:L4)</f>
        <v>4400</v>
      </c>
    </row>
    <row r="14" spans="1:14" x14ac:dyDescent="0.3">
      <c r="A14">
        <v>13</v>
      </c>
      <c r="B14" t="s">
        <v>21</v>
      </c>
      <c r="C14" t="s">
        <v>6</v>
      </c>
      <c r="D14">
        <v>29</v>
      </c>
      <c r="E14">
        <v>4550</v>
      </c>
      <c r="H14" t="s">
        <v>50</v>
      </c>
      <c r="I14" t="str">
        <f>DGET(A1:E21,"name",K3:K4)</f>
        <v>Farah</v>
      </c>
    </row>
    <row r="15" spans="1:14" x14ac:dyDescent="0.3">
      <c r="A15">
        <v>14</v>
      </c>
      <c r="B15" t="s">
        <v>22</v>
      </c>
      <c r="C15" t="s">
        <v>10</v>
      </c>
      <c r="D15">
        <v>11</v>
      </c>
      <c r="E15">
        <v>6200</v>
      </c>
    </row>
    <row r="16" spans="1:14" x14ac:dyDescent="0.3">
      <c r="A16">
        <v>15</v>
      </c>
      <c r="B16" t="s">
        <v>23</v>
      </c>
      <c r="C16" t="s">
        <v>8</v>
      </c>
      <c r="D16">
        <v>27</v>
      </c>
      <c r="E16">
        <v>5100</v>
      </c>
    </row>
    <row r="17" spans="1:5" x14ac:dyDescent="0.3">
      <c r="A17">
        <v>16</v>
      </c>
      <c r="B17" t="s">
        <v>24</v>
      </c>
      <c r="C17" t="s">
        <v>12</v>
      </c>
      <c r="D17">
        <v>31</v>
      </c>
      <c r="E17">
        <v>5400</v>
      </c>
    </row>
    <row r="18" spans="1:5" x14ac:dyDescent="0.3">
      <c r="A18">
        <v>17</v>
      </c>
      <c r="B18" t="s">
        <v>25</v>
      </c>
      <c r="C18" t="s">
        <v>10</v>
      </c>
      <c r="D18">
        <v>30</v>
      </c>
      <c r="E18">
        <v>5900</v>
      </c>
    </row>
    <row r="19" spans="1:5" x14ac:dyDescent="0.3">
      <c r="A19">
        <v>18</v>
      </c>
      <c r="B19" t="s">
        <v>26</v>
      </c>
      <c r="C19" t="s">
        <v>6</v>
      </c>
      <c r="D19">
        <v>26</v>
      </c>
      <c r="E19">
        <v>4400</v>
      </c>
    </row>
    <row r="20" spans="1:5" x14ac:dyDescent="0.3">
      <c r="A20">
        <v>19</v>
      </c>
      <c r="B20" t="s">
        <v>27</v>
      </c>
      <c r="C20" t="s">
        <v>8</v>
      </c>
      <c r="D20">
        <v>36</v>
      </c>
      <c r="E20">
        <v>6300</v>
      </c>
    </row>
    <row r="21" spans="1:5" x14ac:dyDescent="0.3">
      <c r="A21">
        <v>20</v>
      </c>
      <c r="B21" t="s">
        <v>28</v>
      </c>
      <c r="C21" t="s">
        <v>12</v>
      </c>
      <c r="D21">
        <v>25</v>
      </c>
      <c r="E21">
        <v>4800</v>
      </c>
    </row>
  </sheetData>
  <mergeCells count="1">
    <mergeCell ref="I2:N2"/>
  </mergeCells>
  <dataValidations count="1">
    <dataValidation type="whole" errorStyle="warning" allowBlank="1" showInputMessage="1" showErrorMessage="1" errorTitle="Data Validation" error="Age value must be in between 20 and 60" promptTitle="Data Validation Rule" prompt="The value of Age should be in between 20 and 60" sqref="D16:D21 D13:D14 D2:D7" xr:uid="{705776CA-3C1B-4DE2-8662-0B9287663788}">
      <formula1>20</formula1>
      <formula2>60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DF368-3877-4720-917F-FE69ECB89FB4}">
  <sheetPr codeName="Sheet2"/>
  <dimension ref="A1:A4"/>
  <sheetViews>
    <sheetView workbookViewId="0">
      <selection activeCell="F7" sqref="F7"/>
    </sheetView>
  </sheetViews>
  <sheetFormatPr defaultRowHeight="14.4" x14ac:dyDescent="0.3"/>
  <cols>
    <col min="1" max="1" width="14.21875" customWidth="1"/>
  </cols>
  <sheetData>
    <row r="1" spans="1:1" x14ac:dyDescent="0.3">
      <c r="A1" t="s">
        <v>6</v>
      </c>
    </row>
    <row r="2" spans="1:1" x14ac:dyDescent="0.3">
      <c r="A2" t="s">
        <v>8</v>
      </c>
    </row>
    <row r="3" spans="1:1" x14ac:dyDescent="0.3">
      <c r="A3" t="s">
        <v>10</v>
      </c>
    </row>
    <row r="4" spans="1:1" x14ac:dyDescent="0.3">
      <c r="A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H50"/>
  <sheetViews>
    <sheetView topLeftCell="A25" workbookViewId="0">
      <selection activeCell="A19" sqref="A19"/>
    </sheetView>
  </sheetViews>
  <sheetFormatPr defaultRowHeight="14.4" x14ac:dyDescent="0.3"/>
  <cols>
    <col min="1" max="1" width="59.44140625" customWidth="1"/>
    <col min="2" max="2" width="33.33203125" hidden="1" customWidth="1"/>
    <col min="3" max="3" width="34.5546875" hidden="1" customWidth="1"/>
    <col min="4" max="4" width="16.33203125" customWidth="1"/>
    <col min="5" max="5" width="6" hidden="1" customWidth="1"/>
    <col min="6" max="6" width="0" hidden="1" customWidth="1"/>
    <col min="7" max="7" width="39" customWidth="1"/>
  </cols>
  <sheetData>
    <row r="1" spans="1:7" x14ac:dyDescent="0.3">
      <c r="A1" t="s">
        <v>29</v>
      </c>
      <c r="D1">
        <f>DSUM(SampleData!A1:E21, "Salary", G1:G2)</f>
        <v>26900</v>
      </c>
      <c r="G1" t="s">
        <v>2</v>
      </c>
    </row>
    <row r="2" spans="1:7" x14ac:dyDescent="0.3">
      <c r="G2" t="s">
        <v>10</v>
      </c>
    </row>
    <row r="7" spans="1:7" x14ac:dyDescent="0.3">
      <c r="A7" t="s">
        <v>30</v>
      </c>
      <c r="D7">
        <f>DCOUNT(SampleData!A1:E21, "Salary", G7:G8)</f>
        <v>11</v>
      </c>
      <c r="G7" t="s">
        <v>4</v>
      </c>
    </row>
    <row r="8" spans="1:7" x14ac:dyDescent="0.3">
      <c r="G8" t="s">
        <v>31</v>
      </c>
    </row>
    <row r="13" spans="1:7" x14ac:dyDescent="0.3">
      <c r="A13" t="s">
        <v>32</v>
      </c>
      <c r="D13">
        <f>DAVERAGE(SampleData!A1:E21, "Age", G13:G14)</f>
        <v>27.8</v>
      </c>
      <c r="G13" t="s">
        <v>2</v>
      </c>
    </row>
    <row r="14" spans="1:7" x14ac:dyDescent="0.3">
      <c r="G14" t="s">
        <v>6</v>
      </c>
    </row>
    <row r="19" spans="1:7" x14ac:dyDescent="0.3">
      <c r="A19" t="s">
        <v>33</v>
      </c>
      <c r="D19">
        <f>DMAX(SampleData!A1:E21, "Salary", G19:G20)</f>
        <v>6300</v>
      </c>
      <c r="G19" t="s">
        <v>2</v>
      </c>
    </row>
    <row r="20" spans="1:7" x14ac:dyDescent="0.3">
      <c r="G20" t="s">
        <v>8</v>
      </c>
    </row>
    <row r="25" spans="1:7" x14ac:dyDescent="0.3">
      <c r="A25" t="s">
        <v>34</v>
      </c>
      <c r="D25">
        <f>DMIN(SampleData!A1:E21, "Age", G25:G26)</f>
        <v>11</v>
      </c>
      <c r="G25" t="s">
        <v>2</v>
      </c>
    </row>
    <row r="26" spans="1:7" x14ac:dyDescent="0.3">
      <c r="G26" t="s">
        <v>12</v>
      </c>
    </row>
    <row r="31" spans="1:7" x14ac:dyDescent="0.3">
      <c r="A31" t="s">
        <v>35</v>
      </c>
      <c r="D31">
        <f>DSUM(SampleData!A1:E21, "Salary", G31:G32)</f>
        <v>31700</v>
      </c>
      <c r="G31" t="s">
        <v>3</v>
      </c>
    </row>
    <row r="32" spans="1:7" x14ac:dyDescent="0.3">
      <c r="G32" t="s">
        <v>36</v>
      </c>
    </row>
    <row r="37" spans="1:8" x14ac:dyDescent="0.3">
      <c r="A37" t="s">
        <v>37</v>
      </c>
      <c r="D37">
        <f>DAVERAGE(SampleData!A1:E21, "Salary", G37:H38)</f>
        <v>4943.75</v>
      </c>
      <c r="G37" t="s">
        <v>3</v>
      </c>
      <c r="H37" t="s">
        <v>3</v>
      </c>
    </row>
    <row r="38" spans="1:8" x14ac:dyDescent="0.3">
      <c r="G38" t="s">
        <v>38</v>
      </c>
      <c r="H38" t="s">
        <v>39</v>
      </c>
    </row>
    <row r="43" spans="1:8" x14ac:dyDescent="0.3">
      <c r="A43" t="s">
        <v>40</v>
      </c>
      <c r="D43">
        <f>DGET(SampleData!A1:E21, "Salary", G43:G44)</f>
        <v>6000</v>
      </c>
      <c r="G43" t="s">
        <v>0</v>
      </c>
    </row>
    <row r="44" spans="1:8" x14ac:dyDescent="0.3">
      <c r="G44" t="s">
        <v>41</v>
      </c>
    </row>
    <row r="49" spans="1:8" x14ac:dyDescent="0.3">
      <c r="A49" t="s">
        <v>42</v>
      </c>
      <c r="D49">
        <f>DCOUNT(SampleData!A1:E21, "ID", G49:H50)</f>
        <v>3</v>
      </c>
      <c r="G49" t="s">
        <v>2</v>
      </c>
      <c r="H49" t="s">
        <v>4</v>
      </c>
    </row>
    <row r="50" spans="1:8" x14ac:dyDescent="0.3">
      <c r="G50" t="s">
        <v>10</v>
      </c>
      <c r="H50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CB2D-15C2-47B8-964E-6413CF43E0B6}">
  <dimension ref="A1:B8"/>
  <sheetViews>
    <sheetView tabSelected="1" workbookViewId="0">
      <selection activeCell="C16" sqref="A1:XFD1048576"/>
    </sheetView>
  </sheetViews>
  <sheetFormatPr defaultRowHeight="14.4" x14ac:dyDescent="0.3"/>
  <cols>
    <col min="1" max="1" width="17.6640625" customWidth="1"/>
    <col min="2" max="2" width="20.77734375" customWidth="1"/>
    <col min="3" max="3" width="23.6640625" customWidth="1"/>
    <col min="4" max="4" width="25.6640625" customWidth="1"/>
    <col min="5" max="5" width="31.109375" customWidth="1"/>
    <col min="6" max="6" width="30.77734375" customWidth="1"/>
  </cols>
  <sheetData>
    <row r="1" spans="1:2" x14ac:dyDescent="0.3">
      <c r="A1" s="2" t="s">
        <v>51</v>
      </c>
      <c r="B1" s="2" t="s">
        <v>52</v>
      </c>
    </row>
    <row r="2" spans="1:2" x14ac:dyDescent="0.3">
      <c r="A2" s="3">
        <v>1</v>
      </c>
      <c r="B2" s="3">
        <v>100</v>
      </c>
    </row>
    <row r="3" spans="1:2" x14ac:dyDescent="0.3">
      <c r="A3" s="3">
        <v>2</v>
      </c>
      <c r="B3" s="3">
        <v>150</v>
      </c>
    </row>
    <row r="4" spans="1:2" x14ac:dyDescent="0.3">
      <c r="A4" s="3">
        <v>3</v>
      </c>
      <c r="B4" s="3">
        <v>200</v>
      </c>
    </row>
    <row r="5" spans="1:2" x14ac:dyDescent="0.3">
      <c r="A5" s="3">
        <v>4</v>
      </c>
      <c r="B5" s="3">
        <v>250</v>
      </c>
    </row>
    <row r="6" spans="1:2" x14ac:dyDescent="0.3">
      <c r="A6" s="3">
        <v>5</v>
      </c>
      <c r="B6" s="3">
        <v>300</v>
      </c>
    </row>
    <row r="7" spans="1:2" x14ac:dyDescent="0.3">
      <c r="A7" s="3">
        <v>6</v>
      </c>
      <c r="B7">
        <f>FORECAST(A7,B2:B6,A2:A6)</f>
        <v>350</v>
      </c>
    </row>
    <row r="8" spans="1:2" x14ac:dyDescent="0.3">
      <c r="A8" s="3">
        <v>7</v>
      </c>
      <c r="B8">
        <f>FORECAST(A8,B2:B7,A2:A7)</f>
        <v>400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8567-388D-41E2-8BBD-9016318826C8}">
  <dimension ref="A1:B5"/>
  <sheetViews>
    <sheetView workbookViewId="0">
      <selection activeCell="A5" sqref="A5"/>
    </sheetView>
  </sheetViews>
  <sheetFormatPr defaultRowHeight="14.4" x14ac:dyDescent="0.3"/>
  <cols>
    <col min="1" max="1" width="17.5546875" customWidth="1"/>
    <col min="2" max="2" width="15.44140625" customWidth="1"/>
    <col min="6" max="6" width="12.44140625" customWidth="1"/>
    <col min="7" max="7" width="14.21875" customWidth="1"/>
  </cols>
  <sheetData>
    <row r="1" spans="1:2" x14ac:dyDescent="0.3">
      <c r="A1" s="2" t="s">
        <v>53</v>
      </c>
      <c r="B1" s="2" t="s">
        <v>52</v>
      </c>
    </row>
    <row r="2" spans="1:2" x14ac:dyDescent="0.3">
      <c r="A2" s="3">
        <v>10</v>
      </c>
      <c r="B2" s="3">
        <v>100</v>
      </c>
    </row>
    <row r="3" spans="1:2" x14ac:dyDescent="0.3">
      <c r="A3" s="3">
        <v>20</v>
      </c>
      <c r="B3" s="3">
        <v>200</v>
      </c>
    </row>
    <row r="4" spans="1:2" x14ac:dyDescent="0.3">
      <c r="A4" s="3">
        <v>30</v>
      </c>
      <c r="B4" s="3">
        <v>300</v>
      </c>
    </row>
    <row r="5" spans="1:2" x14ac:dyDescent="0.3">
      <c r="A5" s="3">
        <f>CORREL(A2:A4,B2:B4)</f>
        <v>0.99999999999999978</v>
      </c>
      <c r="B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SampleData</vt:lpstr>
      <vt:lpstr>Departments</vt:lpstr>
      <vt:lpstr>DatabaseFunctions</vt:lpstr>
      <vt:lpstr>Forecast</vt:lpstr>
      <vt:lpstr>CORREL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 Ahmed</cp:lastModifiedBy>
  <dcterms:created xsi:type="dcterms:W3CDTF">2025-12-06T13:13:26Z</dcterms:created>
  <dcterms:modified xsi:type="dcterms:W3CDTF">2026-06-14T11:47:11Z</dcterms:modified>
</cp:coreProperties>
</file>